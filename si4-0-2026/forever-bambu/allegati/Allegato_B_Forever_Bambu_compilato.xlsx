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J:\Sviluppo_Gestione_Bandi\AdP\BANDO SI4.0 2026\"/>
    </mc:Choice>
  </mc:AlternateContent>
  <xr:revisionPtr revIDLastSave="0" documentId="13_ncr:1_{52465766-227E-4EFC-9B2B-77B6A183B652}" xr6:coauthVersionLast="47" xr6:coauthVersionMax="47" xr10:uidLastSave="{00000000-0000-0000-0000-000000000000}"/>
  <workbookProtection workbookAlgorithmName="SHA-512" workbookHashValue="ORuRYdMmeMQHtK1SqsAccwY1kRSUGsqrTd7KSsEDn9lUa+NYlGlzAtvvBxxsWBrcZFT2Leac9UOkw1YwICYRbA==" workbookSaltValue="zi1j8X6G47uiACwcN+VwVg==" workbookSpinCount="100000" lockStructure="1"/>
  <bookViews>
    <workbookView xWindow="-120" yWindow="-120" windowWidth="29040" windowHeight="15720" xr2:uid="{00000000-000D-0000-FFFF-FFFF00000000}"/>
  </bookViews>
  <sheets>
    <sheet name="Prospetto spese" sheetId="1" r:id="rId1"/>
    <sheet name="Foglio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G24" i="1"/>
  <c r="G21" i="1"/>
  <c r="G13" i="1" l="1"/>
  <c r="G16" i="1" l="1"/>
  <c r="G29" i="1" l="1"/>
  <c r="G30" i="1" s="1"/>
  <c r="G34" i="1" s="1"/>
</calcChain>
</file>

<file path=xl/sharedStrings.xml><?xml version="1.0" encoding="utf-8"?>
<sst xmlns="http://schemas.openxmlformats.org/spreadsheetml/2006/main" count="73" uniqueCount="56">
  <si>
    <t>Descrizione spesa</t>
  </si>
  <si>
    <t>Codice fiscale fornitore</t>
  </si>
  <si>
    <t>Importo (al netto di Iva)</t>
  </si>
  <si>
    <t>TOTALE a)</t>
  </si>
  <si>
    <t>TOTALE b)</t>
  </si>
  <si>
    <t>TOTALE c)</t>
  </si>
  <si>
    <t>CONTRIBUTO RICHIESTO</t>
  </si>
  <si>
    <t>INTENSITA' % DI CONTRIBUTO RICHIESTO</t>
  </si>
  <si>
    <t>…………………………………………………………………………………..</t>
  </si>
  <si>
    <t>Nome impresa</t>
  </si>
  <si>
    <t>c) Investimenti in attrezzature tecnologiche e programmi informatici necessari alla realizzazione del progetto</t>
  </si>
  <si>
    <t>Nome fornitore</t>
  </si>
  <si>
    <t>Spese previste</t>
  </si>
  <si>
    <t>Codice fiscale impresa</t>
  </si>
  <si>
    <t>Provincia della sede oggetto dell'intervento</t>
  </si>
  <si>
    <t>TOTALE d)</t>
  </si>
  <si>
    <t>TOTALE e)</t>
  </si>
  <si>
    <t>TOTALE f)</t>
  </si>
  <si>
    <t>e) Spese per la tutela della proprietà industriale</t>
  </si>
  <si>
    <t>f) Spese del personale dell'azienda*</t>
  </si>
  <si>
    <t>TOTALE SPESE AMMISSIBILI**</t>
  </si>
  <si>
    <t>** Viene effettuato il controllo che le spese ammissibili raggiungano un investimento minimo di € 25.000</t>
  </si>
  <si>
    <t>a) Consulenza erogata dal fornitore qualificato del servizio</t>
  </si>
  <si>
    <t>b) Formazione erogata dal fornitore qualificato del servizio</t>
  </si>
  <si>
    <t>* Nel caso l'utente inserisca una cifra superiore al 30% delle altre voci di spesa, il totale f) viene rimodulato dal sistema. Nel campo "Descrizione spesa" della spesa f) indicare i nominativi dei dipendenti coinvolti, nel campo "Importo" inserire il totale della spesa di personale prevista, calcolata secondo il metodo del costo eleggibile (vedi FAQ).</t>
  </si>
  <si>
    <t>d) Servizi e tecnologie per l'ingegnerizzazione di software/hardware erogata dal fornitore qualificato</t>
  </si>
  <si>
    <t>Selezionare la tecnologia di riferimento della spesa indicata</t>
  </si>
  <si>
    <t>Robotica industriale e collaborativa; Human centric robotics</t>
  </si>
  <si>
    <t>Sistemi di visione artificiale</t>
  </si>
  <si>
    <t>Manifattura additiva e prototipazione rapida</t>
  </si>
  <si>
    <t>Tecnologie per la navigazione immersiva, interattiva e partecipativa (realtà aumentata, realtà virtuale, mixed reality e ricostruzioni 3D)</t>
  </si>
  <si>
    <t>Digital twin, hardware in the loop, Human in the loop</t>
  </si>
  <si>
    <t>Internet delle cose (IoT), sistemi cyber-fisici (CPS)</t>
  </si>
  <si>
    <t>Cloud computing, Edge Computing</t>
  </si>
  <si>
    <t>Tecnologie per la cyber security e business continuity (es. CEI – cyber exposure index, vulnerability assessment, penetration testing etc)</t>
  </si>
  <si>
    <t>Intelligenza artificiale (Machine learning, Deep Learning, NLP, LLM, Agenti AI, data mining)</t>
  </si>
  <si>
    <t>Blockchain e smart contract</t>
  </si>
  <si>
    <t>Sistemi di gestione dati aziendali (ERP, CRM, MES, DMS, HRMS, WMS, BI)</t>
  </si>
  <si>
    <t>Brescia</t>
  </si>
  <si>
    <t>Lodi</t>
  </si>
  <si>
    <t>Milano</t>
  </si>
  <si>
    <t>Monza Brianza</t>
  </si>
  <si>
    <t>Bergamo</t>
  </si>
  <si>
    <t>Tipologia spesa in funzione della tecnologia</t>
  </si>
  <si>
    <r>
      <t xml:space="preserve">All. A - BANDO SI4.0 2026
</t>
    </r>
    <r>
      <rPr>
        <b/>
        <sz val="14"/>
        <color rgb="FF266196"/>
        <rFont val="Calibri"/>
        <family val="2"/>
        <scheme val="minor"/>
      </rPr>
      <t>Prospetto delle spese</t>
    </r>
  </si>
  <si>
    <t>Big data e analytics</t>
  </si>
  <si>
    <t>Non ho rating di legalità</t>
  </si>
  <si>
    <t>Seleziona opzione</t>
  </si>
  <si>
    <t>Una stella</t>
  </si>
  <si>
    <t>Due stelle</t>
  </si>
  <si>
    <t>Tre stelle</t>
  </si>
  <si>
    <t>Non sono in possesso della certificazione parità di genere (UNI/PdR 125:2022)</t>
  </si>
  <si>
    <t>Sono in possesso della certificazione parità di genere (UNI/PdR 125:2022)</t>
  </si>
  <si>
    <t>Premialità rating di legalità***</t>
  </si>
  <si>
    <t>Premialità Certificazione parità di genere***</t>
  </si>
  <si>
    <t>*** Selezionare una o più premialità, se presenti in azienda (righe 31 e 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</si>
</sst>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"/>
    <numFmt numFmtId="165" formatCode="#,##0.00\ &quot;€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266196"/>
      <name val="Calibri"/>
      <family val="2"/>
      <scheme val="minor"/>
    </font>
    <font>
      <b/>
      <sz val="14"/>
      <color rgb="FF266196"/>
      <name val="Calibri"/>
      <family val="2"/>
      <scheme val="minor"/>
    </font>
    <font>
      <sz val="12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59">
    <xf numFmtId="0" fontId="0" fillId="0" borderId="0" xfId="0"/>
    <xf numFmtId="164" fontId="0" fillId="0" borderId="19" xfId="0" applyNumberFormat="1" applyBorder="1" applyAlignment="1" applyProtection="1">
      <alignment horizontal="center" vertical="center" wrapText="1"/>
      <protection hidden="1"/>
    </xf>
    <xf numFmtId="164" fontId="0" fillId="0" borderId="12" xfId="0" applyNumberFormat="1" applyBorder="1" applyAlignment="1" applyProtection="1">
      <alignment vertical="center" wrapText="1"/>
      <protection hidden="1"/>
    </xf>
    <xf numFmtId="164" fontId="0" fillId="0" borderId="26" xfId="0" applyNumberFormat="1" applyBorder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164" fontId="0" fillId="0" borderId="8" xfId="0" applyNumberFormat="1" applyBorder="1" applyAlignment="1" applyProtection="1">
      <alignment vertical="center" wrapText="1"/>
      <protection hidden="1"/>
    </xf>
    <xf numFmtId="0" fontId="0" fillId="0" borderId="16" xfId="0" applyBorder="1" applyAlignment="1" applyProtection="1">
      <alignment wrapText="1"/>
      <protection hidden="1"/>
    </xf>
    <xf numFmtId="0" fontId="0" fillId="0" borderId="1" xfId="0" applyBorder="1" applyProtection="1">
      <protection locked="0" hidden="1"/>
    </xf>
    <xf numFmtId="49" fontId="0" fillId="0" borderId="1" xfId="0" applyNumberFormat="1" applyBorder="1" applyProtection="1">
      <protection locked="0" hidden="1"/>
    </xf>
    <xf numFmtId="0" fontId="0" fillId="0" borderId="6" xfId="0" applyBorder="1" applyAlignment="1" applyProtection="1">
      <alignment horizontal="left" vertical="center" wrapText="1"/>
      <protection locked="0" hidden="1"/>
    </xf>
    <xf numFmtId="0" fontId="0" fillId="0" borderId="27" xfId="0" applyBorder="1" applyAlignment="1" applyProtection="1">
      <alignment horizontal="left" vertical="center" wrapText="1"/>
      <protection locked="0" hidden="1"/>
    </xf>
    <xf numFmtId="164" fontId="0" fillId="0" borderId="7" xfId="0" applyNumberFormat="1" applyBorder="1" applyAlignment="1" applyProtection="1">
      <alignment vertical="center" wrapText="1"/>
      <protection locked="0" hidden="1"/>
    </xf>
    <xf numFmtId="0" fontId="0" fillId="0" borderId="4" xfId="0" applyBorder="1" applyAlignment="1" applyProtection="1">
      <alignment horizontal="left" vertical="center" wrapText="1"/>
      <protection locked="0" hidden="1"/>
    </xf>
    <xf numFmtId="0" fontId="0" fillId="0" borderId="28" xfId="0" applyBorder="1" applyAlignment="1" applyProtection="1">
      <alignment horizontal="left" vertical="center" wrapText="1"/>
      <protection locked="0" hidden="1"/>
    </xf>
    <xf numFmtId="164" fontId="0" fillId="0" borderId="25" xfId="0" applyNumberFormat="1" applyBorder="1" applyAlignment="1" applyProtection="1">
      <alignment vertical="center" wrapText="1"/>
      <protection locked="0" hidden="1"/>
    </xf>
    <xf numFmtId="0" fontId="0" fillId="0" borderId="3" xfId="0" applyBorder="1" applyAlignment="1" applyProtection="1">
      <alignment horizontal="left" vertical="center" wrapText="1"/>
      <protection locked="0" hidden="1"/>
    </xf>
    <xf numFmtId="0" fontId="0" fillId="0" borderId="29" xfId="0" applyBorder="1" applyAlignment="1" applyProtection="1">
      <alignment horizontal="left" vertical="center" wrapText="1"/>
      <protection locked="0" hidden="1"/>
    </xf>
    <xf numFmtId="164" fontId="0" fillId="0" borderId="8" xfId="0" applyNumberFormat="1" applyBorder="1" applyAlignment="1" applyProtection="1">
      <alignment vertical="center" wrapText="1"/>
      <protection locked="0" hidden="1"/>
    </xf>
    <xf numFmtId="0" fontId="0" fillId="2" borderId="0" xfId="0" applyFill="1" applyProtection="1">
      <protection hidden="1"/>
    </xf>
    <xf numFmtId="0" fontId="0" fillId="2" borderId="0" xfId="0" applyFill="1"/>
    <xf numFmtId="164" fontId="0" fillId="2" borderId="0" xfId="0" applyNumberFormat="1" applyFill="1" applyProtection="1">
      <protection hidden="1"/>
    </xf>
    <xf numFmtId="0" fontId="1" fillId="0" borderId="5" xfId="0" applyFont="1" applyBorder="1" applyAlignment="1" applyProtection="1">
      <alignment horizontal="left" vertical="center" wrapText="1"/>
      <protection hidden="1"/>
    </xf>
    <xf numFmtId="0" fontId="0" fillId="0" borderId="32" xfId="0" applyBorder="1" applyAlignment="1" applyProtection="1">
      <alignment horizontal="left" vertical="center" wrapText="1"/>
      <protection hidden="1"/>
    </xf>
    <xf numFmtId="0" fontId="4" fillId="0" borderId="17" xfId="0" applyFont="1" applyBorder="1" applyProtection="1">
      <protection hidden="1"/>
    </xf>
    <xf numFmtId="0" fontId="4" fillId="0" borderId="13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 applyProtection="1">
      <alignment horizontal="center" vertical="center"/>
      <protection hidden="1"/>
    </xf>
    <xf numFmtId="0" fontId="6" fillId="0" borderId="0" xfId="0" applyFont="1" applyAlignment="1">
      <alignment horizontal="justify" vertical="center"/>
    </xf>
    <xf numFmtId="0" fontId="0" fillId="2" borderId="0" xfId="0" applyFill="1" applyProtection="1">
      <protection locked="0" hidden="1"/>
    </xf>
    <xf numFmtId="49" fontId="0" fillId="2" borderId="0" xfId="0" applyNumberFormat="1" applyFill="1" applyProtection="1">
      <protection locked="0" hidden="1"/>
    </xf>
    <xf numFmtId="0" fontId="0" fillId="2" borderId="0" xfId="0" applyFill="1" applyAlignment="1" applyProtection="1">
      <alignment horizontal="left" vertical="center" wrapText="1"/>
      <protection hidden="1"/>
    </xf>
    <xf numFmtId="0" fontId="1" fillId="0" borderId="9" xfId="0" applyFont="1" applyBorder="1" applyAlignment="1" applyProtection="1">
      <alignment horizontal="right" vertical="center" wrapText="1"/>
      <protection hidden="1"/>
    </xf>
    <xf numFmtId="0" fontId="1" fillId="0" borderId="10" xfId="0" applyFont="1" applyBorder="1" applyAlignment="1" applyProtection="1">
      <alignment horizontal="right" vertical="center" wrapText="1"/>
      <protection hidden="1"/>
    </xf>
    <xf numFmtId="0" fontId="0" fillId="0" borderId="11" xfId="0" applyBorder="1" applyAlignment="1" applyProtection="1">
      <alignment horizontal="right" vertical="center" wrapText="1"/>
      <protection hidden="1"/>
    </xf>
    <xf numFmtId="0" fontId="1" fillId="0" borderId="5" xfId="0" applyFont="1" applyBorder="1" applyAlignment="1" applyProtection="1">
      <alignment horizontal="left" vertical="center" wrapText="1"/>
      <protection hidden="1"/>
    </xf>
    <xf numFmtId="0" fontId="1" fillId="0" borderId="24" xfId="0" applyFont="1" applyBorder="1" applyAlignment="1" applyProtection="1">
      <alignment horizontal="left" vertical="center" wrapText="1"/>
      <protection hidden="1"/>
    </xf>
    <xf numFmtId="0" fontId="1" fillId="0" borderId="17" xfId="0" applyFont="1" applyBorder="1" applyAlignment="1" applyProtection="1">
      <alignment horizontal="right" wrapText="1"/>
      <protection hidden="1"/>
    </xf>
    <xf numFmtId="0" fontId="0" fillId="0" borderId="18" xfId="0" applyBorder="1" applyAlignment="1" applyProtection="1">
      <alignment wrapText="1"/>
      <protection hidden="1"/>
    </xf>
    <xf numFmtId="0" fontId="0" fillId="0" borderId="31" xfId="0" applyBorder="1" applyAlignment="1" applyProtection="1">
      <alignment wrapText="1"/>
      <protection hidden="1"/>
    </xf>
    <xf numFmtId="0" fontId="2" fillId="0" borderId="20" xfId="0" applyFont="1" applyBorder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27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21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29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22" xfId="0" applyFont="1" applyBorder="1" applyAlignment="1" applyProtection="1">
      <alignment horizontal="center" vertical="center" wrapText="1"/>
      <protection hidden="1"/>
    </xf>
    <xf numFmtId="0" fontId="3" fillId="0" borderId="23" xfId="0" applyFont="1" applyBorder="1" applyAlignment="1" applyProtection="1">
      <alignment horizontal="center" vertical="center" wrapText="1"/>
      <protection hidden="1"/>
    </xf>
    <xf numFmtId="0" fontId="3" fillId="0" borderId="30" xfId="0" applyFont="1" applyBorder="1" applyAlignment="1" applyProtection="1">
      <alignment horizontal="center" vertical="center" wrapText="1"/>
      <protection hidden="1"/>
    </xf>
    <xf numFmtId="0" fontId="3" fillId="0" borderId="12" xfId="0" applyFont="1" applyBorder="1" applyAlignment="1" applyProtection="1">
      <alignment horizontal="center" vertical="center" wrapText="1"/>
      <protection hidden="1"/>
    </xf>
    <xf numFmtId="0" fontId="1" fillId="0" borderId="18" xfId="0" applyFont="1" applyBorder="1" applyAlignment="1" applyProtection="1">
      <alignment horizontal="right" vertical="center" wrapText="1"/>
      <protection hidden="1"/>
    </xf>
    <xf numFmtId="0" fontId="0" fillId="0" borderId="31" xfId="0" applyBorder="1" applyAlignment="1" applyProtection="1">
      <alignment horizontal="right" vertical="center" wrapText="1"/>
      <protection hidden="1"/>
    </xf>
    <xf numFmtId="0" fontId="7" fillId="2" borderId="17" xfId="0" applyFont="1" applyFill="1" applyBorder="1" applyAlignment="1" applyProtection="1">
      <alignment horizontal="right" wrapText="1"/>
      <protection hidden="1"/>
    </xf>
    <xf numFmtId="0" fontId="7" fillId="2" borderId="18" xfId="0" applyFont="1" applyFill="1" applyBorder="1" applyAlignment="1" applyProtection="1">
      <alignment horizontal="right" wrapText="1"/>
      <protection hidden="1"/>
    </xf>
    <xf numFmtId="0" fontId="7" fillId="2" borderId="31" xfId="0" applyFont="1" applyFill="1" applyBorder="1" applyAlignment="1" applyProtection="1">
      <alignment horizontal="right" wrapText="1"/>
      <protection hidden="1"/>
    </xf>
    <xf numFmtId="164" fontId="8" fillId="3" borderId="19" xfId="0" applyNumberFormat="1" applyFont="1" applyFill="1" applyBorder="1" applyAlignment="1" applyProtection="1">
      <alignment horizontal="center" vertical="center" wrapText="1"/>
      <protection locked="0" hidden="1"/>
    </xf>
    <xf numFmtId="9" fontId="1" fillId="0" borderId="1" xfId="0" applyNumberFormat="1" applyFont="1" applyBorder="1" applyAlignment="1" applyProtection="1">
      <alignment horizontal="center" wrapText="1"/>
      <protection hidden="1"/>
    </xf>
    <xf numFmtId="165" fontId="1" fillId="0" borderId="2" xfId="0" applyNumberFormat="1" applyFont="1" applyBorder="1" applyAlignment="1" applyProtection="1">
      <alignment horizontal="center" wrapText="1"/>
      <protection hidden="1"/>
    </xf>
  </cellXfs>
  <cellStyles count="1">
    <cellStyle name="Normale" xfId="0" builtinId="0"/>
  </cellStyles>
  <dxfs count="4"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</font>
    </dxf>
    <dxf>
      <font>
        <b/>
        <i val="0"/>
        <strike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</dxfs>
  <tableStyles count="0" defaultTableStyle="TableStyleMedium2" defaultPivotStyle="PivotStyleLight16"/>
  <colors>
    <mruColors>
      <color rgb="FF266196"/>
      <color rgb="FF2F76B7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571501</xdr:colOff>
      <xdr:row>4</xdr:row>
      <xdr:rowOff>152400</xdr:rowOff>
    </xdr:from>
    <xdr:to>
      <xdr:col>6</xdr:col>
      <xdr:colOff>1790700</xdr:colOff>
      <xdr:row>8</xdr:row>
      <xdr:rowOff>200025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934326" y="1352550"/>
          <a:ext cx="4867274" cy="1000125"/>
        </a:xfrm>
        <a:prstGeom prst="rect">
          <a:avLst/>
        </a:prstGeom>
        <a:solidFill>
          <a:schemeClr val="bg1"/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 b="1">
              <a:solidFill>
                <a:sysClr val="windowText" lastClr="000000"/>
              </a:solidFill>
            </a:rPr>
            <a:t>Nota:</a:t>
          </a:r>
        </a:p>
        <a:p>
          <a:pPr algn="l"/>
          <a:r>
            <a:rPr lang="it-IT" sz="1100">
              <a:solidFill>
                <a:sysClr val="windowText" lastClr="000000"/>
              </a:solidFill>
            </a:rPr>
            <a:t>Nel</a:t>
          </a:r>
          <a:r>
            <a:rPr lang="it-IT" sz="1100" baseline="0">
              <a:solidFill>
                <a:sysClr val="windowText" lastClr="000000"/>
              </a:solidFill>
            </a:rPr>
            <a:t> caso sia necessario inserire un'ulteriore riga per una determinata voce di spesa, selezionare la seconda riga di ciascuna voce di spesa, cliccare il tasto destro del mouse e selezionare "Inserisci". Ad es., se voglio inserire un'ulteriore riga per la spesa "a) consulenza", clicco sulla riga 12, clicco tasto dx, seleziono "Inserisci".</a:t>
          </a:r>
          <a:endParaRPr lang="it-IT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6</xdr:col>
      <xdr:colOff>514350</xdr:colOff>
      <xdr:row>2</xdr:row>
      <xdr:rowOff>11985</xdr:rowOff>
    </xdr:from>
    <xdr:to>
      <xdr:col>6</xdr:col>
      <xdr:colOff>1592580</xdr:colOff>
      <xdr:row>3</xdr:row>
      <xdr:rowOff>520010</xdr:rowOff>
    </xdr:to>
    <xdr:pic>
      <xdr:nvPicPr>
        <xdr:cNvPr id="6" name="Immagine 5" descr="Home">
          <a:extLst>
            <a:ext uri="{FF2B5EF4-FFF2-40B4-BE49-F238E27FC236}">
              <a16:creationId xmlns:a16="http://schemas.microsoft.com/office/drawing/2014/main" id="{A06E4DFC-251F-4DD0-BCB6-9CB2EF529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7670" y="385365"/>
          <a:ext cx="1078230" cy="690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160021</xdr:colOff>
      <xdr:row>1</xdr:row>
      <xdr:rowOff>167640</xdr:rowOff>
    </xdr:from>
    <xdr:to>
      <xdr:col>1</xdr:col>
      <xdr:colOff>1813561</xdr:colOff>
      <xdr:row>3</xdr:row>
      <xdr:rowOff>327660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831C78F4-7B34-46D0-A6CA-39B358A265BC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1" y="358140"/>
          <a:ext cx="1653540" cy="5257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2232660</xdr:colOff>
      <xdr:row>2</xdr:row>
      <xdr:rowOff>0</xdr:rowOff>
    </xdr:from>
    <xdr:to>
      <xdr:col>1</xdr:col>
      <xdr:colOff>3645535</xdr:colOff>
      <xdr:row>3</xdr:row>
      <xdr:rowOff>304800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90D5FA25-0AE1-42A1-BC87-3FD1784C69B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373380"/>
          <a:ext cx="1460500" cy="487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4="http://schemas.openxmlformats.org/officeDocument/2006/relationships" xmlns:ns6="http://schemas.microsoft.com/office/excel/2006/main" xmlns:x14="http://schemas.microsoft.com/office/spreadsheetml/2009/9/main" xmlns:x14ac="http://schemas.microsoft.com/office/spreadsheetml/2009/9/ac" xmlns:xr="http://schemas.microsoft.com/office/spreadsheetml/2014/revision" mc:Ignorable="x14ac xr xr2 xr3" xr:uid="{00000000-0001-0000-0000-000000000000}">
  <dimension ref="A1:AG157"/>
  <sheetViews>
    <sheetView tabSelected="1" zoomScaleNormal="100" workbookViewId="0">
      <selection activeCell="B32" sqref="B32:F32"/>
    </sheetView>
  </sheetViews>
  <sheetFormatPr defaultColWidth="9.140625" defaultRowHeight="15" x14ac:dyDescent="0.25"/>
  <cols>
    <col min="1" max="1" width="9.140625" style="18"/>
    <col min="2" max="2" width="54.7109375" style="4" customWidth="1"/>
    <col min="3" max="3" width="46.5703125" style="4" customWidth="1"/>
    <col min="4" max="4" width="56.85546875" style="4" customWidth="1"/>
    <col min="5" max="5" width="27.28515625" style="4" customWidth="1"/>
    <col min="6" max="6" width="27.42578125" style="4" customWidth="1"/>
    <col min="7" max="7" width="27.28515625" style="4" customWidth="1"/>
    <col min="8" max="8" width="9.140625" style="4"/>
    <col min="9" max="9" width="10.5703125" style="4" bestFit="1" customWidth="1"/>
    <col min="10" max="16384" width="9.140625" style="4"/>
  </cols>
  <sheetData>
    <row r="1" spans="2:33" s="18" customFormat="1" ht="15.75" thickBot="1" x14ac:dyDescent="0.3"/>
    <row r="2" spans="2:33" x14ac:dyDescent="0.25">
      <c r="B2" s="39" t="s">
        <v>44</v>
      </c>
      <c r="C2" s="40"/>
      <c r="D2" s="40"/>
      <c r="E2" s="40"/>
      <c r="F2" s="41"/>
      <c r="G2" s="42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spans="2:33" x14ac:dyDescent="0.25">
      <c r="B3" s="43"/>
      <c r="C3" s="44"/>
      <c r="D3" s="44"/>
      <c r="E3" s="44"/>
      <c r="F3" s="45"/>
      <c r="G3" s="46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</row>
    <row r="4" spans="2:33" ht="48.75" customHeight="1" thickBot="1" x14ac:dyDescent="0.3">
      <c r="B4" s="47"/>
      <c r="C4" s="48"/>
      <c r="D4" s="48"/>
      <c r="E4" s="48"/>
      <c r="F4" s="49"/>
      <c r="G4" s="50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spans="2:33" s="18" customFormat="1" ht="27.75" customHeight="1" thickBot="1" x14ac:dyDescent="0.3"/>
    <row r="6" spans="2:33" ht="15.75" thickBot="1" x14ac:dyDescent="0.3">
      <c r="B6" s="23" t="s">
        <v>9</v>
      </c>
      <c r="C6" s="7" t="inlineStr">
        <is>
          <t>FOREVER BAMBU S.P.A. SOCIETA BENEFIT</t>
        </is>
      </c>
      <c r="D6" s="2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spans="2:33" ht="15.75" thickBot="1" x14ac:dyDescent="0.3">
      <c r="B7" s="23" t="s">
        <v>13</v>
      </c>
      <c r="C7" s="8" t="inlineStr">
        <is>
          <t>12072470961</t>
        </is>
      </c>
      <c r="D7" s="29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spans="2:33" ht="15.75" thickBot="1" x14ac:dyDescent="0.3">
      <c r="B8" s="23" t="s">
        <v>14</v>
      </c>
      <c r="C8" s="7" t="inlineStr">
        <is>
          <t>Milano</t>
        </is>
      </c>
      <c r="D8" s="28"/>
      <c r="E8" s="18"/>
      <c r="F8" s="19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spans="2:33" s="18" customFormat="1" ht="33" customHeight="1" thickBot="1" x14ac:dyDescent="0.3"/>
    <row r="10" spans="2:33" ht="15.75" thickBot="1" x14ac:dyDescent="0.3">
      <c r="B10" s="24" t="s">
        <v>12</v>
      </c>
      <c r="C10" s="25" t="s">
        <v>0</v>
      </c>
      <c r="D10" s="25" t="s">
        <v>43</v>
      </c>
      <c r="E10" s="25" t="s">
        <v>11</v>
      </c>
      <c r="F10" s="25" t="s">
        <v>1</v>
      </c>
      <c r="G10" s="26" t="s">
        <v>2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spans="2:33" x14ac:dyDescent="0.25">
      <c r="B11" s="34" t="s">
        <v>22</v>
      </c>
      <c r="C11" s="9" t="inlineStr">
        <is>
          <t>WP1 - Analisi dei processi, baseline KPI, requisiti, RACI e piano di test per Carbon Manager Learning Operations 4.0</t>
        </is>
      </c>
      <c r="D11" s="9" t="inlineStr">
        <is>
          <t>Sistemi di gestione dati aziendali (ERP, CRM, MES, DMS, HRMS, WMS, BI)</t>
        </is>
      </c>
      <c r="E11" s="9" t="inlineStr">
        <is>
          <t>Italia Digitale S.r.l.</t>
        </is>
      </c>
      <c r="F11" s="10" t="inlineStr">
        <is>
          <t>11914080962</t>
        </is>
      </c>
      <c r="G11" s="11">
        <v>8000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spans="2:33" x14ac:dyDescent="0.25">
      <c r="B12" s="35"/>
      <c r="C12" s="12"/>
      <c r="D12" s="12" t="s">
        <v>26</v>
      </c>
      <c r="E12" s="12"/>
      <c r="F12" s="13"/>
      <c r="G12" s="14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2:33" ht="15.75" thickBot="1" x14ac:dyDescent="0.3">
      <c r="B13" s="31" t="s">
        <v>3</v>
      </c>
      <c r="C13" s="32"/>
      <c r="D13" s="32"/>
      <c r="E13" s="32"/>
      <c r="F13" s="33"/>
      <c r="G13" s="2">
        <f>SUM(G11:G12)</f>
        <v>0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spans="2:33" x14ac:dyDescent="0.25">
      <c r="B14" s="34" t="s">
        <v>23</v>
      </c>
      <c r="C14" s="9" t="inlineStr">
        <is>
          <t>WP6 - Formazione del personale Forever Bambu su workflow operativi, dashboard, supervisione output AI, aggiornamento contenuti e procedure della piattaforma</t>
        </is>
      </c>
      <c r="D14" s="9" t="inlineStr">
        <is>
          <t>Intelligenza artificiale (Machine learning, Deep Learning, NLP, LLM, Agenti AI, data mining)</t>
        </is>
      </c>
      <c r="E14" s="9" t="inlineStr">
        <is>
          <t>Italia Digitale S.r.l.</t>
        </is>
      </c>
      <c r="F14" s="10" t="inlineStr">
        <is>
          <t>11914080962</t>
        </is>
      </c>
      <c r="G14" s="11">
        <v>5000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spans="2:33" x14ac:dyDescent="0.25">
      <c r="B15" s="35"/>
      <c r="C15" s="15"/>
      <c r="D15" s="15" t="s">
        <v>26</v>
      </c>
      <c r="E15" s="15"/>
      <c r="F15" s="16"/>
      <c r="G15" s="17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spans="2:33" ht="15.75" thickBot="1" x14ac:dyDescent="0.3">
      <c r="B16" s="31" t="s">
        <v>4</v>
      </c>
      <c r="C16" s="32"/>
      <c r="D16" s="32"/>
      <c r="E16" s="32"/>
      <c r="F16" s="33"/>
      <c r="G16" s="3">
        <f>SUM(G14:G15)</f>
        <v>0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spans="2:33" x14ac:dyDescent="0.25">
      <c r="B17" s="34" t="s">
        <v>10</v>
      </c>
      <c r="C17" s="9" t="inlineStr">
        <is>
          <t>Hosting Hetzner cloud/dedicated per integrazioni verticali e orizzontali, ambienti applicativi e test - 12 mesi</t>
        </is>
      </c>
      <c r="D17" s="9" t="inlineStr">
        <is>
          <t>Cloud computing, Edge Computing</t>
        </is>
      </c>
      <c r="E17" s="9" t="inlineStr">
        <is>
          <t>Italia Digitale S.r.l.</t>
        </is>
      </c>
      <c r="F17" s="10" t="inlineStr">
        <is>
          <t>11914080962</t>
        </is>
      </c>
      <c r="G17" s="11">
        <v>2400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spans="2:33" x14ac:dyDescent="0.25">
      <c r="B18" s="35"/>
      <c r="C18" s="15" t="inlineStr">
        <is>
          <t>Database, backup, storage e monitoraggio dei servizi di progetto - 12 mesi</t>
        </is>
      </c>
      <c r="D18" s="15" t="inlineStr">
        <is>
          <t>Cloud computing, Edge Computing</t>
        </is>
      </c>
      <c r="E18" s="15" t="inlineStr">
        <is>
          <t>Italia Digitale S.r.l.</t>
        </is>
      </c>
      <c r="F18" s="16" t="inlineStr">
        <is>
          <t>11914080962</t>
        </is>
      </c>
      <c r="G18" s="17">
        <v>1800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spans="2:33" x14ac:dyDescent="0.25">
      <c r="B19" s="35"/>
      <c r="C19" s="15"/>
      <c r="D19" s="15"/>
      <c r="E19" s="15"/>
      <c r="F19" s="16"/>
      <c r="G19" s="17">
        <v>0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spans="2:33" x14ac:dyDescent="0.25">
      <c r="B20" s="35"/>
      <c r="C20" s="15"/>
      <c r="D20" s="15"/>
      <c r="E20" s="15"/>
      <c r="F20" s="16"/>
      <c r="G20" s="17">
        <v>0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spans="2:33" ht="15.75" thickBot="1" x14ac:dyDescent="0.3">
      <c r="B21" s="31" t="s">
        <v>5</v>
      </c>
      <c r="C21" s="32"/>
      <c r="D21" s="32"/>
      <c r="E21" s="32"/>
      <c r="F21" s="33"/>
      <c r="G21" s="5">
        <f>SUM(G17:G20)</f>
        <v>0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spans="2:33" x14ac:dyDescent="0.25">
      <c r="B22" s="34" t="s">
        <v>25</v>
      </c>
      <c r="C22" s="9" t="inlineStr">
        <is>
          <t>WP2 - Architettura, modello dati e integrazioni tra piattaforma corsi, survey/assessment, CRM, automazioni e dashboard; servizi di assessment, analytics e automazione dei flussi - 12 mesi</t>
        </is>
      </c>
      <c r="D22" s="9" t="inlineStr">
        <is>
          <t>Sistemi di gestione dati aziendali (ERP, CRM, MES, DMS, HRMS, WMS, BI)</t>
        </is>
      </c>
      <c r="E22" s="9" t="inlineStr">
        <is>
          <t>Italia Digitale S.r.l.</t>
        </is>
      </c>
      <c r="F22" s="10" t="inlineStr">
        <is>
          <t>11914080962</t>
        </is>
      </c>
      <c r="G22" s="11">
        <v>11200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spans="2:33" x14ac:dyDescent="0.25">
      <c r="B23" s="35"/>
      <c r="C23" s="15" t="inlineStr">
        <is>
          <t>WP3-WP5 - Sviluppo workflow AI human-in-the-loop, classificazione feedback e assessment, dashboard, pilota, test, collaudo e ottimizzazione della piattaforma Carbon Manager</t>
        </is>
      </c>
      <c r="D23" s="15" t="inlineStr">
        <is>
          <t>Intelligenza artificiale (Machine learning, Deep Learning, NLP, LLM, Agenti AI, data mining)</t>
        </is>
      </c>
      <c r="E23" s="15" t="inlineStr">
        <is>
          <t>Italia Digitale S.r.l.</t>
        </is>
      </c>
      <c r="F23" s="16" t="inlineStr">
        <is>
          <t>11914080962</t>
        </is>
      </c>
      <c r="G23" s="17">
        <v>19600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spans="2:33" ht="15.75" thickBot="1" x14ac:dyDescent="0.3">
      <c r="B24" s="31" t="s">
        <v>15</v>
      </c>
      <c r="C24" s="32"/>
      <c r="D24" s="32"/>
      <c r="E24" s="32"/>
      <c r="F24" s="33"/>
      <c r="G24" s="3">
        <f>SUM(G22:G23)</f>
        <v>0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spans="2:33" x14ac:dyDescent="0.25">
      <c r="B25" s="34" t="s">
        <v>18</v>
      </c>
      <c r="C25" s="9"/>
      <c r="D25" s="9" t="s">
        <v>26</v>
      </c>
      <c r="E25" s="9"/>
      <c r="F25" s="10"/>
      <c r="G25" s="11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2:33" x14ac:dyDescent="0.25">
      <c r="B26" s="35"/>
      <c r="C26" s="15"/>
      <c r="D26" s="15" t="s">
        <v>26</v>
      </c>
      <c r="E26" s="15"/>
      <c r="F26" s="16"/>
      <c r="G26" s="17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2:33" ht="15.75" thickBot="1" x14ac:dyDescent="0.3">
      <c r="B27" s="31" t="s">
        <v>16</v>
      </c>
      <c r="C27" s="32"/>
      <c r="D27" s="32"/>
      <c r="E27" s="32"/>
      <c r="F27" s="33"/>
      <c r="G27" s="3">
        <f>SUM(G25:G26)</f>
        <v>0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2:33" x14ac:dyDescent="0.25">
      <c r="B28" s="21" t="s">
        <v>19</v>
      </c>
      <c r="C28" s="9" t="inlineStr">
        <is>
          <t>[DA COMPLETARE] Nominativi dipendenti Forever Bambu dedicati a requisiti, contenuti, validazione AI, pilota, collaudo e adozione; costo eleggibile da calcolare secondo FAQ</t>
        </is>
      </c>
      <c r="D28" s="9"/>
      <c r="E28" s="22"/>
      <c r="F28" s="22"/>
      <c r="G28" s="11">
        <v>12000</v>
      </c>
      <c r="H28" s="18"/>
      <c r="I28" s="20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spans="2:33" ht="15.75" thickBot="1" x14ac:dyDescent="0.3">
      <c r="B29" s="31" t="s">
        <v>17</v>
      </c>
      <c r="C29" s="32"/>
      <c r="D29" s="32"/>
      <c r="E29" s="32"/>
      <c r="F29" s="33"/>
      <c r="G29" s="3">
        <f>IF(SUM(G28:G28)&lt;=(0.3*(G13+G16+G21+G24+G27)),SUM(G28:G28),0.3*(G13+G16+G21+G24+G27))</f>
        <v>0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spans="2:33" ht="48.75" customHeight="1" thickBot="1" x14ac:dyDescent="0.3">
      <c r="B30" s="6"/>
      <c r="C30" s="51" t="s">
        <v>20</v>
      </c>
      <c r="D30" s="51"/>
      <c r="E30" s="51"/>
      <c r="F30" s="52"/>
      <c r="G30" s="1" t="str">
        <f>IF((G13+G16+G21+G24+G27+G29)&lt;&gt;0,IF((G13+G16+G21+G24+G27+G29)&gt;=25000,G13+G16+G21+G24+G27+G29,"L'importo totale non raggiunge l'investimento minimo"),"L'importo totale non raggiunge l'investimento minimo")</f>
        <v>L'importo totale non raggiunge l'investimento minimo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spans="2:33" ht="22.5" customHeight="1" thickBot="1" x14ac:dyDescent="0.3">
      <c r="B31" s="53" t="s">
        <v>53</v>
      </c>
      <c r="C31" s="54"/>
      <c r="D31" s="54"/>
      <c r="E31" s="54"/>
      <c r="F31" s="55"/>
      <c r="G31" s="56" t="inlineStr">
        <is>
          <t>Seleziona opzione</t>
        </is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spans="2:33" ht="38.25" customHeight="1" thickBot="1" x14ac:dyDescent="0.3">
      <c r="B32" s="53" t="s">
        <v>54</v>
      </c>
      <c r="C32" s="54"/>
      <c r="D32" s="54"/>
      <c r="E32" s="54"/>
      <c r="F32" s="55"/>
      <c r="G32" s="56" t="inlineStr">
        <is>
          <t>Seleziona opzione</t>
        </is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spans="2:33" ht="15.75" thickBot="1" x14ac:dyDescent="0.3">
      <c r="B33" s="36" t="s">
        <v>7</v>
      </c>
      <c r="C33" s="37"/>
      <c r="D33" s="37"/>
      <c r="E33" s="37"/>
      <c r="F33" s="38"/>
      <c r="G33" s="57">
        <v>0.5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spans="2:33" ht="15.75" thickBot="1" x14ac:dyDescent="0.3">
      <c r="B34" s="36" t="s">
        <v>6</v>
      </c>
      <c r="C34" s="37"/>
      <c r="D34" s="37"/>
      <c r="E34" s="37"/>
      <c r="F34" s="38"/>
      <c r="G34" s="58">
        <f>IF(G30&lt;&gt;"L'importo totale non raggiunge l'investimento minimo",IF((G30*0.5)&lt;=30000,G30*0.5,30000),0)+IF(G31="Una stella",150,0)+IF(G31="Due stelle",300,0)+IF(G31="Tre stelle",500,0)+IF(G32=Foglio1!B32,250,0)</f>
        <v>0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spans="2:33" s="18" customFormat="1" x14ac:dyDescent="0.25"/>
    <row r="36" spans="2:33" s="18" customFormat="1" ht="14.45" customHeight="1" x14ac:dyDescent="0.25">
      <c r="B36" s="30" t="s">
        <v>24</v>
      </c>
      <c r="C36" s="30"/>
      <c r="D36" s="30"/>
      <c r="E36" s="30"/>
      <c r="F36" s="30"/>
      <c r="G36" s="30"/>
    </row>
    <row r="37" spans="2:33" s="18" customFormat="1" x14ac:dyDescent="0.25">
      <c r="B37" s="30"/>
      <c r="C37" s="30"/>
      <c r="D37" s="30"/>
      <c r="E37" s="30"/>
      <c r="F37" s="30"/>
      <c r="G37" s="30"/>
    </row>
    <row r="38" spans="2:33" s="18" customFormat="1" x14ac:dyDescent="0.25">
      <c r="B38" s="18" t="s">
        <v>21</v>
      </c>
    </row>
    <row r="39" spans="2:33" s="18" customFormat="1" x14ac:dyDescent="0.25">
      <c r="B39" s="18" t="s">
        <v>55</v>
      </c>
    </row>
    <row r="40" spans="2:33" s="18" customFormat="1" x14ac:dyDescent="0.25"/>
    <row r="41" spans="2:33" s="18" customFormat="1" x14ac:dyDescent="0.25"/>
    <row r="42" spans="2:33" s="18" customFormat="1" x14ac:dyDescent="0.25"/>
    <row r="43" spans="2:33" s="18" customFormat="1" x14ac:dyDescent="0.25"/>
    <row r="44" spans="2:33" s="18" customFormat="1" x14ac:dyDescent="0.25"/>
    <row r="45" spans="2:33" s="18" customFormat="1" x14ac:dyDescent="0.25"/>
    <row r="46" spans="2:33" s="18" customFormat="1" x14ac:dyDescent="0.25"/>
    <row r="47" spans="2:33" s="18" customFormat="1" x14ac:dyDescent="0.25"/>
    <row r="48" spans="2:33" s="18" customFormat="1" x14ac:dyDescent="0.25"/>
    <row r="49" spans="8:33" s="18" customFormat="1" x14ac:dyDescent="0.25"/>
    <row r="50" spans="8:33" s="18" customFormat="1" x14ac:dyDescent="0.25"/>
    <row r="51" spans="8:33" s="18" customFormat="1" x14ac:dyDescent="0.25"/>
    <row r="52" spans="8:33" s="18" customFormat="1" x14ac:dyDescent="0.25"/>
    <row r="53" spans="8:33" s="18" customFormat="1" x14ac:dyDescent="0.25"/>
    <row r="54" spans="8:33" s="18" customFormat="1" x14ac:dyDescent="0.25"/>
    <row r="55" spans="8:33" s="18" customFormat="1" x14ac:dyDescent="0.25"/>
    <row r="56" spans="8:33" s="18" customFormat="1" x14ac:dyDescent="0.25"/>
    <row r="57" spans="8:33" s="18" customFormat="1" x14ac:dyDescent="0.25"/>
    <row r="58" spans="8:33" s="18" customFormat="1" x14ac:dyDescent="0.25"/>
    <row r="59" spans="8:33" s="18" customFormat="1" x14ac:dyDescent="0.25"/>
    <row r="60" spans="8:33" s="18" customFormat="1" x14ac:dyDescent="0.25"/>
    <row r="61" spans="8:33" s="18" customFormat="1" x14ac:dyDescent="0.25"/>
    <row r="62" spans="8:33" s="18" customFormat="1" x14ac:dyDescent="0.25"/>
    <row r="63" spans="8:33" s="18" customFormat="1" x14ac:dyDescent="0.25"/>
    <row r="64" spans="8:33" x14ac:dyDescent="0.25"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spans="8:33" x14ac:dyDescent="0.25"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spans="8:33" x14ac:dyDescent="0.25"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spans="8:33" x14ac:dyDescent="0.25"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spans="8:33" x14ac:dyDescent="0.25"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spans="8:33" x14ac:dyDescent="0.25"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spans="8:33" x14ac:dyDescent="0.25"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spans="8:33" x14ac:dyDescent="0.25"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spans="8:33" x14ac:dyDescent="0.25"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spans="8:33" x14ac:dyDescent="0.25"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spans="8:33" x14ac:dyDescent="0.25"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spans="8:33" x14ac:dyDescent="0.25"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spans="8:33" x14ac:dyDescent="0.25"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spans="8:33" x14ac:dyDescent="0.25"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spans="8:33" x14ac:dyDescent="0.25"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spans="8:33" x14ac:dyDescent="0.25"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spans="8:33" x14ac:dyDescent="0.25"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spans="8:33" x14ac:dyDescent="0.25"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spans="8:33" x14ac:dyDescent="0.25"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spans="8:33" x14ac:dyDescent="0.25"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spans="8:33" x14ac:dyDescent="0.25"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spans="8:33" x14ac:dyDescent="0.25"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spans="8:33" x14ac:dyDescent="0.25"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spans="8:33" x14ac:dyDescent="0.25"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spans="8:33" x14ac:dyDescent="0.25"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spans="8:33" x14ac:dyDescent="0.25"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spans="8:33" x14ac:dyDescent="0.25"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spans="8:33" x14ac:dyDescent="0.25"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spans="8:33" x14ac:dyDescent="0.25"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spans="8:33" x14ac:dyDescent="0.25"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spans="8:33" x14ac:dyDescent="0.25"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spans="8:33" x14ac:dyDescent="0.25"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spans="8:33" x14ac:dyDescent="0.25"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spans="8:33" x14ac:dyDescent="0.25"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spans="8:33" x14ac:dyDescent="0.25"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spans="8:33" x14ac:dyDescent="0.25"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spans="8:33" x14ac:dyDescent="0.25"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spans="8:33" x14ac:dyDescent="0.25"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spans="8:33" x14ac:dyDescent="0.25"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spans="8:33" x14ac:dyDescent="0.25"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spans="8:33" x14ac:dyDescent="0.25"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spans="8:33" x14ac:dyDescent="0.25"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spans="8:33" x14ac:dyDescent="0.25"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spans="8:33" x14ac:dyDescent="0.25"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spans="8:33" x14ac:dyDescent="0.25"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spans="8:33" x14ac:dyDescent="0.25"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spans="8:33" x14ac:dyDescent="0.25"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spans="8:33" x14ac:dyDescent="0.25"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spans="8:33" x14ac:dyDescent="0.25"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spans="8:33" x14ac:dyDescent="0.25"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spans="8:33" x14ac:dyDescent="0.25"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spans="8:33" x14ac:dyDescent="0.25"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spans="8:33" x14ac:dyDescent="0.25"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spans="8:33" x14ac:dyDescent="0.25"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spans="8:33" x14ac:dyDescent="0.25"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spans="8:33" x14ac:dyDescent="0.25"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spans="8:33" x14ac:dyDescent="0.25"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spans="8:33" x14ac:dyDescent="0.25"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spans="8:33" x14ac:dyDescent="0.25"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spans="8:33" x14ac:dyDescent="0.25"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spans="8:33" x14ac:dyDescent="0.25"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spans="8:33" x14ac:dyDescent="0.25"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spans="8:33" x14ac:dyDescent="0.25"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spans="8:33" x14ac:dyDescent="0.25"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spans="8:33" x14ac:dyDescent="0.25"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spans="8:33" x14ac:dyDescent="0.25"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spans="8:33" x14ac:dyDescent="0.25"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spans="8:33" x14ac:dyDescent="0.25"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spans="8:33" x14ac:dyDescent="0.25"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spans="8:33" x14ac:dyDescent="0.25"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spans="8:33" x14ac:dyDescent="0.25"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spans="8:33" x14ac:dyDescent="0.25"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spans="8:33" x14ac:dyDescent="0.25"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spans="8:33" x14ac:dyDescent="0.25"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spans="8:33" x14ac:dyDescent="0.25"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spans="8:33" x14ac:dyDescent="0.25"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spans="8:33" x14ac:dyDescent="0.25"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spans="8:33" x14ac:dyDescent="0.25"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spans="8:33" x14ac:dyDescent="0.25"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spans="8:33" x14ac:dyDescent="0.25"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spans="8:33" x14ac:dyDescent="0.25"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spans="8:33" x14ac:dyDescent="0.25"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spans="8:33" x14ac:dyDescent="0.25"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spans="8:33" x14ac:dyDescent="0.25"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spans="8:33" x14ac:dyDescent="0.25"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spans="8:33" x14ac:dyDescent="0.25"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spans="8:33" x14ac:dyDescent="0.25"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spans="8:33" x14ac:dyDescent="0.25"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spans="8:33" x14ac:dyDescent="0.25"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spans="8:33" x14ac:dyDescent="0.25"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spans="8:33" x14ac:dyDescent="0.25"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spans="8:33" x14ac:dyDescent="0.25"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spans="8:33" x14ac:dyDescent="0.25"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spans="8:33" x14ac:dyDescent="0.25"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</sheetData>
  <sheetProtection algorithmName="SHA-512" hashValue="Fjy2swJGfrnmmV/ZBhCkCkTmOf5tDlwQRR0i/Fk3cdCoekKZ3hDJlmJeQo5t83uyvMDLi5qeZaWAIs7RA1Pt7g==" saltValue="kOOlmuhmf5IN09JiV112Bw==" spinCount="100000" sheet="1" insertRows="0"/>
  <mergeCells count="18">
    <mergeCell ref="B31:F31"/>
    <mergeCell ref="B32:F32"/>
    <mergeCell ref="B36:G37"/>
    <mergeCell ref="B21:F21"/>
    <mergeCell ref="B17:B20"/>
    <mergeCell ref="B34:F34"/>
    <mergeCell ref="B2:G4"/>
    <mergeCell ref="B11:B12"/>
    <mergeCell ref="B14:B15"/>
    <mergeCell ref="B13:F13"/>
    <mergeCell ref="B16:F16"/>
    <mergeCell ref="B29:F29"/>
    <mergeCell ref="C30:F30"/>
    <mergeCell ref="B33:F33"/>
    <mergeCell ref="B22:B23"/>
    <mergeCell ref="B24:F24"/>
    <mergeCell ref="B25:B26"/>
    <mergeCell ref="B27:F27"/>
  </mergeCells>
  <conditionalFormatting sqref="G30">
    <cfRule type="cellIs" dxfId="3" priority="4" operator="equal">
      <formula>"L'importo totale non raggiunge l'investimento minimo"</formula>
    </cfRule>
  </conditionalFormatting>
  <conditionalFormatting sqref="G31:G32">
    <cfRule type="cellIs" dxfId="2" priority="2" operator="equal">
      <formula>"L'importo totale non raggiunge l'investimento minimo o ripartizione delle spese non ammessa"</formula>
    </cfRule>
  </conditionalFormatting>
  <conditionalFormatting sqref="G31:G32">
    <cfRule type="cellIs" dxfId="1" priority="1" operator="greaterThanOrEqual">
      <formula>0</formula>
    </cfRule>
    <cfRule type="cellIs" dxfId="0" priority="3" operator="equal">
      <formula>"L'importo totale non raggiunge l'investimento minimo"</formula>
    </cfRule>
  </conditionalFormatting>
  <dataValidations count="4">
    <dataValidation type="decimal" operator="greaterThan" allowBlank="1" showInputMessage="1" showErrorMessage="1" sqref="G33" xr:uid="{00000000-0002-0000-0000-000000000000}">
      <formula1>0</formula1>
    </dataValidation>
    <dataValidation operator="greaterThanOrEqual" allowBlank="1" showInputMessage="1" showErrorMessage="1" sqref="G30" xr:uid="{00000000-0002-0000-0000-000001000000}"/>
    <dataValidation type="textLength" allowBlank="1" showInputMessage="1" showErrorMessage="1" errorTitle="Attenzione" error="Inserire una partita IVA valida di 11 cifre" sqref="C7:D7" xr:uid="{00000000-0002-0000-0000-000002000000}">
      <formula1>11</formula1>
      <formula2>11</formula2>
    </dataValidation>
    <dataValidation type="decimal" operator="greaterThanOrEqual" allowBlank="1" showInputMessage="1" showErrorMessage="1" sqref="G11:G29" xr:uid="{00000000-0002-0000-0000-000003000000}">
      <formula1>0</formula1>
    </dataValidation>
  </dataValidations>
  <pageMargins left="0.7" right="0.7" top="0.75" bottom="0.75" header="0.3" footer="0.3"/>
  <pageSetup paperSize="9" orientation="portrait" ns4:id="rId1"/>
  <drawing ns4:id="rId2"/>
  <extLst>
    <ext uri="{CCE6A557-97BC-4b89-ADB6-D9C93CAAB3DF}">
      <x14:dataValidations count="4">
        <x14:dataValidation type="list" allowBlank="1" showInputMessage="1" showErrorMessage="1" xr:uid="{BE254F15-479C-4208-9D7A-3A452BB92B13}">
          <x14:formula1>
            <ns6:f>Foglio1!$B$16:$B$20</ns6:f>
          </x14:formula1>
          <ns6:sqref>C8:D8</ns6:sqref>
        </x14:dataValidation>
        <x14:dataValidation type="list" allowBlank="1" showInputMessage="1" showErrorMessage="1" xr:uid="{C4066CBB-7032-4AB1-AF67-BC613EB7845B}">
          <x14:formula1>
            <ns6:f>Foglio1!$B$2:$B$14</ns6:f>
          </x14:formula1>
          <ns6:sqref>D17:D20 D14:D15 D25:D26 D22:D23 D11:D12</ns6:sqref>
        </x14:dataValidation>
        <x14:dataValidation type="list" allowBlank="1" showInputMessage="1" showErrorMessage="1" xr:uid="{C4CA393E-D1E7-4BC3-B238-21829EC2C7B6}">
          <x14:formula1>
            <ns6:f>Foglio1!$B$22:$B$26</ns6:f>
          </x14:formula1>
          <ns6:sqref>G31</ns6:sqref>
        </x14:dataValidation>
        <x14:dataValidation type="list" allowBlank="1" showInputMessage="1" showErrorMessage="1" xr:uid="{9367B4C4-06F4-4CB8-808F-733EFA19FF7F}">
          <x14:formula1>
            <ns6:f>Foglio1!$B$30:$B$32</ns6:f>
          </x14:formula1>
          <ns6:sqref>G32</ns6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DC80-9453-46A2-9179-F2E34726032A}">
  <dimension ref="B2:B32"/>
  <sheetViews>
    <sheetView workbookViewId="0">
      <selection activeCell="D31" sqref="D31"/>
    </sheetView>
  </sheetViews>
  <sheetFormatPr defaultRowHeight="15" x14ac:dyDescent="0.25"/>
  <cols>
    <col min="2" max="2" width="55.28515625" bestFit="1" customWidth="1"/>
  </cols>
  <sheetData>
    <row r="2" spans="2:2" ht="15" customHeight="1" x14ac:dyDescent="0.25">
      <c r="B2" t="s">
        <v>26</v>
      </c>
    </row>
    <row r="3" spans="2:2" ht="15" customHeight="1" x14ac:dyDescent="0.25">
      <c r="B3" s="27" t="s">
        <v>27</v>
      </c>
    </row>
    <row r="4" spans="2:2" ht="15" customHeight="1" x14ac:dyDescent="0.25">
      <c r="B4" s="27" t="s">
        <v>28</v>
      </c>
    </row>
    <row r="5" spans="2:2" ht="15" customHeight="1" x14ac:dyDescent="0.25">
      <c r="B5" s="27" t="s">
        <v>29</v>
      </c>
    </row>
    <row r="6" spans="2:2" ht="15" customHeight="1" x14ac:dyDescent="0.25">
      <c r="B6" s="27" t="s">
        <v>30</v>
      </c>
    </row>
    <row r="7" spans="2:2" ht="15" customHeight="1" x14ac:dyDescent="0.25">
      <c r="B7" s="27" t="s">
        <v>31</v>
      </c>
    </row>
    <row r="8" spans="2:2" ht="15" customHeight="1" x14ac:dyDescent="0.25">
      <c r="B8" s="27" t="s">
        <v>32</v>
      </c>
    </row>
    <row r="9" spans="2:2" ht="15" customHeight="1" x14ac:dyDescent="0.25">
      <c r="B9" s="27" t="s">
        <v>33</v>
      </c>
    </row>
    <row r="10" spans="2:2" ht="15" customHeight="1" x14ac:dyDescent="0.25">
      <c r="B10" s="27" t="s">
        <v>34</v>
      </c>
    </row>
    <row r="11" spans="2:2" ht="15" customHeight="1" x14ac:dyDescent="0.25">
      <c r="B11" s="27" t="s">
        <v>35</v>
      </c>
    </row>
    <row r="12" spans="2:2" ht="15" customHeight="1" x14ac:dyDescent="0.25">
      <c r="B12" s="27" t="s">
        <v>36</v>
      </c>
    </row>
    <row r="13" spans="2:2" ht="15" customHeight="1" x14ac:dyDescent="0.25">
      <c r="B13" s="27" t="s">
        <v>45</v>
      </c>
    </row>
    <row r="14" spans="2:2" ht="15" customHeight="1" x14ac:dyDescent="0.25">
      <c r="B14" s="27" t="s">
        <v>37</v>
      </c>
    </row>
    <row r="15" spans="2:2" ht="15" customHeight="1" x14ac:dyDescent="0.25">
      <c r="B15" s="27"/>
    </row>
    <row r="16" spans="2:2" ht="15" customHeight="1" x14ac:dyDescent="0.25">
      <c r="B16" s="27" t="s">
        <v>42</v>
      </c>
    </row>
    <row r="17" spans="2:2" ht="15" customHeight="1" x14ac:dyDescent="0.25">
      <c r="B17" s="27" t="s">
        <v>38</v>
      </c>
    </row>
    <row r="18" spans="2:2" ht="15" customHeight="1" x14ac:dyDescent="0.25">
      <c r="B18" s="27" t="s">
        <v>39</v>
      </c>
    </row>
    <row r="19" spans="2:2" ht="15" customHeight="1" x14ac:dyDescent="0.25">
      <c r="B19" s="27" t="s">
        <v>40</v>
      </c>
    </row>
    <row r="20" spans="2:2" ht="15" customHeight="1" x14ac:dyDescent="0.25">
      <c r="B20" s="27" t="s">
        <v>41</v>
      </c>
    </row>
    <row r="21" spans="2:2" ht="15" customHeight="1" x14ac:dyDescent="0.25"/>
    <row r="22" spans="2:2" ht="15" customHeight="1" x14ac:dyDescent="0.25">
      <c r="B22" s="27" t="s">
        <v>47</v>
      </c>
    </row>
    <row r="23" spans="2:2" ht="15" customHeight="1" x14ac:dyDescent="0.25">
      <c r="B23" s="27" t="s">
        <v>46</v>
      </c>
    </row>
    <row r="24" spans="2:2" ht="15" customHeight="1" x14ac:dyDescent="0.25">
      <c r="B24" s="27" t="s">
        <v>48</v>
      </c>
    </row>
    <row r="25" spans="2:2" ht="15" customHeight="1" x14ac:dyDescent="0.25">
      <c r="B25" s="27" t="s">
        <v>49</v>
      </c>
    </row>
    <row r="26" spans="2:2" ht="15.75" x14ac:dyDescent="0.25">
      <c r="B26" s="27" t="s">
        <v>50</v>
      </c>
    </row>
    <row r="30" spans="2:2" x14ac:dyDescent="0.25">
      <c r="B30" t="s">
        <v>47</v>
      </c>
    </row>
    <row r="31" spans="2:2" ht="31.5" x14ac:dyDescent="0.25">
      <c r="B31" s="27" t="s">
        <v>51</v>
      </c>
    </row>
    <row r="32" spans="2:2" ht="31.5" x14ac:dyDescent="0.25">
      <c r="B32" s="2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Prospetto spese</vt:lpstr>
      <vt:lpstr>Foglio1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Pagnoncelli</dc:creator>
  <cp:lastModifiedBy>Flavio Pagnoncelli</cp:lastModifiedBy>
  <dcterms:created xsi:type="dcterms:W3CDTF">2017-10-04T08:43:51Z</dcterms:created>
  <dcterms:modified xsi:type="dcterms:W3CDTF">2026-09-07T09:01:12Z</dcterms:modified>
</cp:coreProperties>
</file>